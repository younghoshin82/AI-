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본가정" sheetId="1" state="visible" r:id="rId1"/>
    <sheet xmlns:r="http://schemas.openxmlformats.org/officeDocument/2006/relationships" name="연도별현금흐름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0;[Red](#,##0.0);-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66666"/>
      <sz val="9"/>
    </font>
    <font>
      <b val="1"/>
      <color rgb="001F4E78"/>
    </font>
    <font>
      <color rgb="000000FF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64" fontId="5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Sample Pack</author>
  </authors>
  <commentList>
    <comment ref="B5" authorId="0" shapeId="0">
      <text>
        <t>가상 교육용 입력값. 외부 출처 없음.</t>
      </text>
    </comment>
    <comment ref="B6" authorId="0" shapeId="0">
      <text>
        <t>가상 교육용 입력값. 외부 출처 없음.</t>
      </text>
    </comment>
    <comment ref="B7" authorId="0" shapeId="0">
      <text>
        <t>가상 교육용 입력값. 외부 출처 없음.</t>
      </text>
    </comment>
    <comment ref="B8" authorId="0" shapeId="0">
      <text>
        <t>가상 교육용 입력값. 외부 출처 없음.</t>
      </text>
    </comment>
    <comment ref="B9" authorId="0" shapeId="0">
      <text>
        <t>가상 교육용 입력값. 외부 출처 없음.</t>
      </text>
    </comment>
    <comment ref="B10" authorId="0" shapeId="0">
      <text>
        <t>가상 교육용 입력값. 외부 출처 없음.</t>
      </text>
    </comment>
    <comment ref="B11" authorId="0" shapeId="0">
      <text>
        <t>가상 교육용 입력값. 외부 출처 없음.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6" customWidth="1" min="3" max="3"/>
    <col width="20" customWidth="1" min="4" max="4"/>
  </cols>
  <sheetData>
    <row r="1" ht="28" customHeight="1">
      <c r="A1" s="1" t="inlineStr">
        <is>
          <t>경제성 검토서</t>
        </is>
      </c>
    </row>
    <row r="2">
      <c r="A2" s="2" t="inlineStr">
        <is>
          <t>단위: 억원, %, 년 (별도 표기 제외)</t>
        </is>
      </c>
    </row>
    <row r="4">
      <c r="A4" s="3" t="inlineStr">
        <is>
          <t>항목</t>
        </is>
      </c>
      <c r="B4" s="3" t="inlineStr">
        <is>
          <t>입력값</t>
        </is>
      </c>
      <c r="C4" s="3" t="inlineStr">
        <is>
          <t>단위</t>
        </is>
      </c>
      <c r="D4" s="3" t="inlineStr">
        <is>
          <t>비고</t>
        </is>
      </c>
    </row>
    <row r="5">
      <c r="A5" t="inlineStr">
        <is>
          <t>프로젝트명</t>
        </is>
      </c>
      <c r="B5" s="4" t="inlineStr">
        <is>
          <t>열연공장 냉각설비 성능개선</t>
        </is>
      </c>
      <c r="C5" t="inlineStr"/>
      <c r="D5" t="inlineStr">
        <is>
          <t>가상 샘플</t>
        </is>
      </c>
    </row>
    <row r="6">
      <c r="A6" t="inlineStr">
        <is>
          <t>경제성 적용 투자비</t>
        </is>
      </c>
      <c r="B6" s="5" t="n">
        <v>320</v>
      </c>
      <c r="C6" t="inlineStr">
        <is>
          <t>억원</t>
        </is>
      </c>
      <c r="D6" t="inlineStr">
        <is>
          <t>현금흐름 기준</t>
        </is>
      </c>
    </row>
    <row r="7">
      <c r="A7" t="inlineStr">
        <is>
          <t>WACC</t>
        </is>
      </c>
      <c r="B7" s="6" t="n">
        <v>0.08</v>
      </c>
      <c r="C7" t="inlineStr">
        <is>
          <t>%</t>
        </is>
      </c>
      <c r="D7" t="inlineStr">
        <is>
          <t>할인율</t>
        </is>
      </c>
    </row>
    <row r="8">
      <c r="A8" t="inlineStr">
        <is>
          <t>분석기간</t>
        </is>
      </c>
      <c r="B8" s="4" t="n">
        <v>15</v>
      </c>
      <c r="C8" t="inlineStr">
        <is>
          <t>년</t>
        </is>
      </c>
      <c r="D8" t="inlineStr">
        <is>
          <t>가동 후</t>
        </is>
      </c>
    </row>
    <row r="9">
      <c r="A9" t="inlineStr">
        <is>
          <t>NPV</t>
        </is>
      </c>
      <c r="B9" s="4" t="n">
        <v>92</v>
      </c>
      <c r="C9" t="inlineStr">
        <is>
          <t>억원</t>
        </is>
      </c>
      <c r="D9" t="inlineStr">
        <is>
          <t>현업 제시값</t>
        </is>
      </c>
    </row>
    <row r="10">
      <c r="A10" t="inlineStr">
        <is>
          <t>IRR</t>
        </is>
      </c>
      <c r="B10" s="6" t="n">
        <v>0.121</v>
      </c>
      <c r="C10" t="inlineStr">
        <is>
          <t>%</t>
        </is>
      </c>
      <c r="D10" t="inlineStr">
        <is>
          <t>현업 제시값</t>
        </is>
      </c>
    </row>
    <row r="11">
      <c r="A11" t="inlineStr">
        <is>
          <t>회수기간</t>
        </is>
      </c>
      <c r="B11" s="4" t="n">
        <v>5.3</v>
      </c>
      <c r="C11" t="inlineStr">
        <is>
          <t>년</t>
        </is>
      </c>
      <c r="D11" t="inlineStr">
        <is>
          <t>단순회수기간</t>
        </is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8" customHeight="1">
      <c r="A1" s="1" t="inlineStr">
        <is>
          <t>연도별 현금흐름</t>
        </is>
      </c>
    </row>
    <row r="2">
      <c r="A2" s="2" t="inlineStr">
        <is>
          <t>단위: 억원, %, 년 (별도 표기 제외)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</row>
    <row r="5"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</row>
    <row r="6">
      <c r="A6" t="inlineStr">
        <is>
          <t>구분</t>
        </is>
      </c>
      <c r="B6" s="5" t="n">
        <v>2027</v>
      </c>
      <c r="C6" s="5" t="n">
        <v>2028</v>
      </c>
      <c r="D6" s="5" t="n">
        <v>2029</v>
      </c>
      <c r="E6" s="5" t="n">
        <v>2030</v>
      </c>
      <c r="F6" s="5" t="n">
        <v>2031</v>
      </c>
      <c r="G6" s="5" t="n">
        <v>2032</v>
      </c>
      <c r="H6" s="5" t="n">
        <v>2033</v>
      </c>
      <c r="I6" s="5" t="n">
        <v>2034</v>
      </c>
      <c r="J6" s="5" t="n">
        <v>2035</v>
      </c>
      <c r="K6" s="5" t="n">
        <v>2036</v>
      </c>
      <c r="L6" s="5" t="n">
        <v>2037</v>
      </c>
      <c r="M6" s="5" t="n">
        <v>2038</v>
      </c>
      <c r="N6" s="5" t="n">
        <v>2039</v>
      </c>
      <c r="O6" s="5" t="n">
        <v>2040</v>
      </c>
      <c r="P6" s="5" t="n">
        <v>2041</v>
      </c>
      <c r="Q6" s="5" t="n">
        <v>2042</v>
      </c>
      <c r="R6" s="5" t="n">
        <v>2043</v>
      </c>
    </row>
    <row r="7">
      <c r="A7" t="inlineStr">
        <is>
          <t>투자비</t>
        </is>
      </c>
      <c r="B7" s="7" t="n">
        <v>-128</v>
      </c>
      <c r="C7" s="7" t="n">
        <v>-192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</row>
    <row r="8">
      <c r="A8" t="inlineStr">
        <is>
          <t>영업현금효과</t>
        </is>
      </c>
      <c r="B8" s="7" t="n">
        <v>0</v>
      </c>
      <c r="C8" s="7" t="n">
        <v>74</v>
      </c>
      <c r="D8" s="7" t="n">
        <v>74</v>
      </c>
      <c r="E8" s="7" t="n">
        <v>74</v>
      </c>
      <c r="F8" s="7" t="n">
        <v>74</v>
      </c>
      <c r="G8" s="7" t="n">
        <v>74</v>
      </c>
      <c r="H8" s="7" t="n">
        <v>74</v>
      </c>
      <c r="I8" s="7" t="n">
        <v>74</v>
      </c>
      <c r="J8" s="7" t="n">
        <v>74</v>
      </c>
      <c r="K8" s="7" t="n">
        <v>74</v>
      </c>
      <c r="L8" s="7" t="n">
        <v>74</v>
      </c>
      <c r="M8" s="7" t="n">
        <v>74</v>
      </c>
      <c r="N8" s="7" t="n">
        <v>74</v>
      </c>
      <c r="O8" s="7" t="n">
        <v>74</v>
      </c>
      <c r="P8" s="7" t="n">
        <v>74</v>
      </c>
      <c r="Q8" s="7" t="n">
        <v>74</v>
      </c>
      <c r="R8" s="7" t="n">
        <v>74</v>
      </c>
    </row>
    <row r="9">
      <c r="A9" t="inlineStr">
        <is>
          <t>순현금흐름</t>
        </is>
      </c>
      <c r="B9">
        <f>B5+B6</f>
        <v/>
      </c>
      <c r="C9">
        <f>C5+C6</f>
        <v/>
      </c>
      <c r="D9">
        <f>D5+D6</f>
        <v/>
      </c>
      <c r="E9">
        <f>E5+E6</f>
        <v/>
      </c>
      <c r="F9">
        <f>F5+F6</f>
        <v/>
      </c>
      <c r="G9">
        <f>G5+G6</f>
        <v/>
      </c>
      <c r="H9">
        <f>H5+H6</f>
        <v/>
      </c>
      <c r="I9">
        <f>I5+I6</f>
        <v/>
      </c>
      <c r="J9">
        <f>J5+J6</f>
        <v/>
      </c>
      <c r="K9">
        <f>K5+K6</f>
        <v/>
      </c>
      <c r="L9">
        <f>L5+L6</f>
        <v/>
      </c>
      <c r="M9">
        <f>M5+M6</f>
        <v/>
      </c>
      <c r="N9">
        <f>N5+N6</f>
        <v/>
      </c>
      <c r="O9">
        <f>O5+O6</f>
        <v/>
      </c>
      <c r="P9">
        <f>P5+P6</f>
        <v/>
      </c>
      <c r="Q9">
        <f>Q5+Q6</f>
        <v/>
      </c>
      <c r="R9">
        <f>R5+R6</f>
        <v/>
      </c>
    </row>
    <row r="10">
      <c r="A10" t="inlineStr">
        <is>
          <t>누적현금흐름</t>
        </is>
      </c>
      <c r="B10">
        <f>B7</f>
        <v/>
      </c>
      <c r="C10">
        <f>B8+C7</f>
        <v/>
      </c>
      <c r="D10">
        <f>C8+D7</f>
        <v/>
      </c>
      <c r="E10">
        <f>D8+E7</f>
        <v/>
      </c>
      <c r="F10">
        <f>E8+F7</f>
        <v/>
      </c>
      <c r="G10">
        <f>F8+G7</f>
        <v/>
      </c>
      <c r="H10">
        <f>G8+H7</f>
        <v/>
      </c>
      <c r="I10">
        <f>H8+I7</f>
        <v/>
      </c>
      <c r="J10">
        <f>I8+J7</f>
        <v/>
      </c>
      <c r="K10">
        <f>J8+K7</f>
        <v/>
      </c>
      <c r="L10">
        <f>K8+L7</f>
        <v/>
      </c>
      <c r="M10">
        <f>L8+M7</f>
        <v/>
      </c>
      <c r="N10">
        <f>M8+N7</f>
        <v/>
      </c>
      <c r="O10">
        <f>N8+O7</f>
        <v/>
      </c>
      <c r="P10">
        <f>O8+P7</f>
        <v/>
      </c>
      <c r="Q10">
        <f>P8+Q7</f>
        <v/>
      </c>
      <c r="R10">
        <f>Q8+R7</f>
        <v/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2026-09-14T02:08:23Z</dcterms:created>
  <dcterms:modified xmlns:dcterms="http://purl.org/dc/terms/" xmlns:xsi="http://www.w3.org/2001/XMLSchema-instance" xsi:type="dcterms:W3CDTF">2026-09-14T02:08:23Z</dcterms:modified>
</cp:coreProperties>
</file>